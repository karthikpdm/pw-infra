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thik.bm\Downloads\"/>
    </mc:Choice>
  </mc:AlternateContent>
  <xr:revisionPtr revIDLastSave="0" documentId="13_ncr:1_{B839201D-2CBA-4A17-BCE4-4173AA0E201A}" xr6:coauthVersionLast="47" xr6:coauthVersionMax="47" xr10:uidLastSave="{00000000-0000-0000-0000-000000000000}"/>
  <bookViews>
    <workbookView xWindow="28680" yWindow="-120" windowWidth="38640" windowHeight="21120" firstSheet="1" xr2:uid="{00000000-000D-0000-FFFF-FFFF00000000}"/>
  </bookViews>
  <sheets>
    <sheet name="Detailed Calculations" sheetId="1" r:id="rId1"/>
    <sheet name="Detail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7" i="2"/>
  <c r="C5" i="2"/>
</calcChain>
</file>

<file path=xl/sharedStrings.xml><?xml version="1.0" encoding="utf-8"?>
<sst xmlns="http://schemas.openxmlformats.org/spreadsheetml/2006/main" count="72" uniqueCount="63">
  <si>
    <t>Service Name</t>
  </si>
  <si>
    <t>Feature</t>
  </si>
  <si>
    <t>Requests/Day</t>
  </si>
  <si>
    <t>Requests/Month</t>
  </si>
  <si>
    <t>Price per 1,000 Requests</t>
  </si>
  <si>
    <t>Price per Request</t>
  </si>
  <si>
    <t>Calculation</t>
  </si>
  <si>
    <t>Explanation</t>
  </si>
  <si>
    <t>-</t>
  </si>
  <si>
    <t>ML component sends messages on-demand.</t>
  </si>
  <si>
    <t>Device shadow operations triggered as needed.</t>
  </si>
  <si>
    <t>Location service - Locations</t>
  </si>
  <si>
    <t>GPS locations in 1 min</t>
  </si>
  <si>
    <t>Working Hours in a day</t>
  </si>
  <si>
    <t>GPS locations in 1 day for 1 vehicle</t>
  </si>
  <si>
    <t>Day sin a  month</t>
  </si>
  <si>
    <t>Total locations</t>
  </si>
  <si>
    <t>GetPlace API cost per 1000 request</t>
  </si>
  <si>
    <t>GetPlace API monthly cost</t>
  </si>
  <si>
    <t>vpc</t>
  </si>
  <si>
    <t>congnito</t>
  </si>
  <si>
    <t>user authentication</t>
  </si>
  <si>
    <t>VpcEndpoint</t>
  </si>
  <si>
    <t>Transit Gateway</t>
  </si>
  <si>
    <t> VPC Public IPv4 Addresses</t>
  </si>
  <si>
    <t>WAF</t>
  </si>
  <si>
    <t>Dynamo DB</t>
  </si>
  <si>
    <t>S3</t>
  </si>
  <si>
    <t>Storage</t>
  </si>
  <si>
    <t>KMS</t>
  </si>
  <si>
    <t>Encryption</t>
  </si>
  <si>
    <t>Cloudwatch</t>
  </si>
  <si>
    <t>Secrete Manager</t>
  </si>
  <si>
    <t>EC2</t>
  </si>
  <si>
    <t>Codeguru</t>
  </si>
  <si>
    <t>code scanning</t>
  </si>
  <si>
    <t>Code build</t>
  </si>
  <si>
    <t>Code pipeline</t>
  </si>
  <si>
    <t>store secrete</t>
  </si>
  <si>
    <t>firewall</t>
  </si>
  <si>
    <t>ECR</t>
  </si>
  <si>
    <t>Repository</t>
  </si>
  <si>
    <t>Nategateway</t>
  </si>
  <si>
    <t>1 idle public IPv4 address at $0.005/hour → $0.12/day → $3.60/month (30 days)</t>
  </si>
  <si>
    <t>1 VPC Endpoint Hour at $0.01/hour → $0.24/day → $7.20/month (30 days); Data processing at $0.01/GB → $0.01 for 1GB/month</t>
  </si>
  <si>
    <t>1 Transit Gateway VPC Attachment Hour at $0.05/hour → $1.20/day → $36.00/month (30 days); Data processing at $0.02/GB → $0.02 for 1GB/month</t>
  </si>
  <si>
    <t>1 Bot Control rule group at $10.00/month → $10.00/month for 1 rule group; CAPTCHA analysis at $0.40/1000 attempts → $0.40 for 1000 captcha attempts</t>
  </si>
  <si>
    <t>Cost for token requests</t>
  </si>
  <si>
    <t>DynamoDb Streams  + Data Query Operations</t>
  </si>
  <si>
    <t>Cost for storing data in the S3 Standard tier</t>
  </si>
  <si>
    <t>log monitoring</t>
  </si>
  <si>
    <t>ECS</t>
  </si>
  <si>
    <t>Computing capacity</t>
  </si>
  <si>
    <t>AWS Fargate memory at $0.0045/GB-hour → $0.108/GB-day → $3.24/GB-month (30 days); AWS Fargate vCPU at $0.04048/vCPU-hour → $0.97/vCPU-day → $29.16/vCPU-month (30 days)</t>
  </si>
  <si>
    <t>CodePipeline at $0.002/action execution minute → $0.12/hour → $2.88/day</t>
  </si>
  <si>
    <t xml:space="preserve">CodeBuild at $0.005/build minute on general1.small → $0.30/hour → $7.20/day (24 hours) </t>
  </si>
  <si>
    <t xml:space="preserve">ECR storage at $0.10/GB-month → $0.10/GB-month </t>
  </si>
  <si>
    <t>CodeGuru at $10.00/100K lines of code/month → $10.00/month for first 100K lines of code</t>
  </si>
  <si>
    <t>NAT Gateway at $0.045/hour → $1.08/day → $32.40/month (30 days); Data processing at $0.045/GB → $0.045 for 1GB processed through NAT Gateway</t>
  </si>
  <si>
    <t>Secrets Manager at $0.40/secret/month → $0.40/month per secret; API requests at $0.05/10,000 requests → $0.05 for 10,000 API requests</t>
  </si>
  <si>
    <t>CICD</t>
  </si>
  <si>
    <t xml:space="preserve">Monthly cost </t>
  </si>
  <si>
    <t>FY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</si>
</sst>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4" borderId="0" xfId="0" applyFill="1"/>
    <xf numFmtId="0" fontId="2" fillId="0" borderId="0" xfId="0" applyFont="1"/>
    <xf numFmtId="0" fontId="1" fillId="0" borderId="0" xfId="0" applyFont="1"/>
    <xf numFmtId="0" fontId="3" fillId="0" borderId="2" xfId="0" applyFont="1" applyBorder="1"/>
    <xf numFmtId="3" fontId="0" fillId="0" borderId="0" xfId="0" applyNumberFormat="1"/>
    <xf numFmtId="3" fontId="0" fillId="2" borderId="0" xfId="0" applyNumberFormat="1" applyFill="1"/>
    <xf numFmtId="0" fontId="0" fillId="2" borderId="0" xfId="0" applyFill="1"/>
    <xf numFmtId="0" fontId="3" fillId="0" borderId="1" xfId="0" applyFont="1" applyBorder="1"/>
    <xf numFmtId="0" fontId="4" fillId="0" borderId="1" xfId="0" applyFont="1" applyBorder="1"/>
    <xf numFmtId="17" fontId="1" fillId="3" borderId="1" xfId="0" applyNumberFormat="1" applyFont="1" applyFill="1" applyBorder="1" applyAlignment="1">
      <alignment horizontal="center" vertical="top"/>
    </xf>
    <xf numFmtId="0" fontId="0" fillId="5" borderId="1" xfId="0" applyFill="1" applyBorder="1"/>
    <xf numFmtId="0" fontId="1" fillId="5" borderId="1" xfId="0" applyFont="1" applyFill="1" applyBorder="1"/>
    <xf numFmtId="0" fontId="4" fillId="5" borderId="1" xfId="0" applyFont="1" applyFill="1" applyBorder="1"/>
    <xf numFmtId="0" fontId="0" fillId="5" borderId="0" xfId="0" applyFill="1"/>
    <xf numFmtId="0" fontId="3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topLeftCell="P3" zoomScale="265" zoomScaleNormal="265" workbookViewId="0">
      <selection activeCell="S3" sqref="S3"/>
    </sheetView>
  </sheetViews>
  <sheetFormatPr defaultRowHeight="14.5" x14ac:dyDescent="0.35"/>
  <cols>
    <col min="1" max="1" width="27.81640625" customWidth="1"/>
    <col min="2" max="2" width="30.81640625" customWidth="1"/>
    <col min="3" max="3" width="21.54296875" hidden="1" customWidth="1"/>
    <col min="4" max="4" width="16" hidden="1" customWidth="1"/>
    <col min="5" max="5" width="26" hidden="1" customWidth="1"/>
    <col min="6" max="6" width="18.81640625" hidden="1" customWidth="1"/>
    <col min="7" max="17" width="18.7265625" customWidth="1"/>
    <col min="18" max="18" width="40.6328125" customWidth="1"/>
  </cols>
  <sheetData>
    <row r="1" spans="1:19" x14ac:dyDescent="0.35">
      <c r="A1" s="4"/>
      <c r="B1" s="4"/>
    </row>
    <row r="2" spans="1:19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3">
        <v>45717</v>
      </c>
      <c r="H2" s="13">
        <v>45748</v>
      </c>
      <c r="I2" s="13">
        <v>45778</v>
      </c>
      <c r="J2" s="13">
        <v>45809</v>
      </c>
      <c r="K2" s="13">
        <v>45839</v>
      </c>
      <c r="L2" s="13">
        <v>45870</v>
      </c>
      <c r="M2" s="13">
        <v>45901</v>
      </c>
      <c r="N2" s="13">
        <v>45931</v>
      </c>
      <c r="O2" s="13">
        <v>45962</v>
      </c>
      <c r="P2" s="13">
        <v>45992</v>
      </c>
      <c r="Q2" s="2" t="s">
        <v>62</v>
      </c>
      <c r="R2" s="2" t="s">
        <v>6</v>
      </c>
      <c r="S2" s="2" t="s">
        <v>7</v>
      </c>
    </row>
    <row r="3" spans="1:19" x14ac:dyDescent="0.35">
      <c r="A3" s="1" t="s">
        <v>19</v>
      </c>
      <c r="B3" s="1" t="s">
        <v>24</v>
      </c>
      <c r="C3" s="1">
        <v>43200</v>
      </c>
      <c r="D3" s="1">
        <v>1296000</v>
      </c>
      <c r="E3" s="1">
        <v>1.5</v>
      </c>
      <c r="F3" s="1">
        <v>1.5E-3</v>
      </c>
      <c r="G3" s="1">
        <v>114</v>
      </c>
      <c r="H3" s="1">
        <v>114</v>
      </c>
      <c r="I3" s="1">
        <v>120</v>
      </c>
      <c r="J3" s="1">
        <v>120</v>
      </c>
      <c r="K3" s="1">
        <v>130</v>
      </c>
      <c r="L3" s="1">
        <v>135</v>
      </c>
      <c r="M3" s="1">
        <v>135</v>
      </c>
      <c r="N3" s="1">
        <v>135</v>
      </c>
      <c r="O3" s="1">
        <v>135</v>
      </c>
      <c r="P3" s="1">
        <v>135</v>
      </c>
      <c r="Q3" s="8">
        <v>1273</v>
      </c>
      <c r="R3" t="s">
        <v>43</v>
      </c>
    </row>
    <row r="4" spans="1:19" x14ac:dyDescent="0.35">
      <c r="A4" s="1" t="s">
        <v>19</v>
      </c>
      <c r="B4" s="1" t="s">
        <v>22</v>
      </c>
      <c r="C4" s="1">
        <v>43200</v>
      </c>
      <c r="D4" s="1">
        <v>1296000</v>
      </c>
      <c r="E4" s="1">
        <v>0.05</v>
      </c>
      <c r="F4" s="1">
        <v>5.0000000000000002E-5</v>
      </c>
      <c r="G4" s="1">
        <v>185</v>
      </c>
      <c r="H4" s="1">
        <v>185</v>
      </c>
      <c r="I4" s="1">
        <v>185</v>
      </c>
      <c r="J4" s="1">
        <v>185</v>
      </c>
      <c r="K4" s="1">
        <v>185</v>
      </c>
      <c r="L4" s="1">
        <v>185</v>
      </c>
      <c r="M4" s="1">
        <v>185</v>
      </c>
      <c r="N4" s="1">
        <v>185</v>
      </c>
      <c r="O4" s="1">
        <v>185</v>
      </c>
      <c r="P4" s="1">
        <v>185</v>
      </c>
      <c r="Q4" s="8">
        <v>1850</v>
      </c>
      <c r="R4" t="s">
        <v>44</v>
      </c>
    </row>
    <row r="5" spans="1:19" x14ac:dyDescent="0.35">
      <c r="A5" s="1" t="s">
        <v>19</v>
      </c>
      <c r="B5" s="1" t="s">
        <v>23</v>
      </c>
      <c r="C5" s="1">
        <v>28800</v>
      </c>
      <c r="D5" s="1">
        <v>864000</v>
      </c>
      <c r="E5" s="1">
        <v>0.05</v>
      </c>
      <c r="F5" s="1">
        <v>5.0000000000000002E-5</v>
      </c>
      <c r="G5" s="1">
        <v>105</v>
      </c>
      <c r="H5" s="1">
        <v>105</v>
      </c>
      <c r="I5" s="1">
        <v>110</v>
      </c>
      <c r="J5" s="1">
        <v>110</v>
      </c>
      <c r="K5" s="1">
        <v>110</v>
      </c>
      <c r="L5" s="1">
        <v>115</v>
      </c>
      <c r="M5" s="1">
        <v>115</v>
      </c>
      <c r="N5" s="1">
        <v>115</v>
      </c>
      <c r="O5" s="1">
        <v>115</v>
      </c>
      <c r="P5" s="1">
        <v>115</v>
      </c>
      <c r="Q5" s="8">
        <v>1115</v>
      </c>
      <c r="R5" t="s">
        <v>45</v>
      </c>
    </row>
    <row r="6" spans="1:19" x14ac:dyDescent="0.35">
      <c r="A6" s="1" t="s">
        <v>25</v>
      </c>
      <c r="B6" s="1" t="s">
        <v>39</v>
      </c>
      <c r="C6" s="1" t="s">
        <v>8</v>
      </c>
      <c r="D6" s="1">
        <v>10000</v>
      </c>
      <c r="E6" s="1">
        <v>0.05</v>
      </c>
      <c r="F6" s="1">
        <v>5.0000000000000002E-5</v>
      </c>
      <c r="G6" s="1">
        <v>55</v>
      </c>
      <c r="H6" s="1">
        <v>175</v>
      </c>
      <c r="I6" s="1">
        <v>175</v>
      </c>
      <c r="J6" s="1">
        <v>180</v>
      </c>
      <c r="K6" s="1">
        <v>180</v>
      </c>
      <c r="L6" s="1">
        <v>180</v>
      </c>
      <c r="M6" s="1">
        <v>180</v>
      </c>
      <c r="N6" s="1">
        <v>185</v>
      </c>
      <c r="O6" s="1">
        <v>185</v>
      </c>
      <c r="P6" s="1">
        <v>185</v>
      </c>
      <c r="Q6" s="8">
        <v>1675</v>
      </c>
      <c r="R6" t="s">
        <v>46</v>
      </c>
    </row>
    <row r="7" spans="1:19" x14ac:dyDescent="0.35">
      <c r="A7" s="1" t="s">
        <v>20</v>
      </c>
      <c r="B7" s="1" t="s">
        <v>21</v>
      </c>
      <c r="C7" s="1" t="s">
        <v>8</v>
      </c>
      <c r="D7" s="1">
        <v>20000</v>
      </c>
      <c r="E7" s="1">
        <v>0.04</v>
      </c>
      <c r="F7" s="1">
        <v>4.0000000000000003E-5</v>
      </c>
      <c r="G7" s="1">
        <v>40</v>
      </c>
      <c r="H7" s="1">
        <v>125</v>
      </c>
      <c r="I7" s="1">
        <v>125</v>
      </c>
      <c r="J7" s="1">
        <v>130</v>
      </c>
      <c r="K7" s="1">
        <v>130</v>
      </c>
      <c r="L7" s="1">
        <v>130</v>
      </c>
      <c r="M7" s="1">
        <v>130</v>
      </c>
      <c r="N7" s="1">
        <v>130</v>
      </c>
      <c r="O7" s="1">
        <v>135</v>
      </c>
      <c r="P7" s="1">
        <v>135</v>
      </c>
      <c r="Q7" s="8">
        <v>1210</v>
      </c>
      <c r="R7" s="7" t="s">
        <v>47</v>
      </c>
    </row>
    <row r="8" spans="1:19" x14ac:dyDescent="0.35">
      <c r="A8" s="1" t="s">
        <v>26</v>
      </c>
      <c r="B8" s="7" t="s">
        <v>48</v>
      </c>
      <c r="C8" s="1">
        <v>20</v>
      </c>
      <c r="D8" s="1">
        <v>20</v>
      </c>
      <c r="E8" s="1">
        <v>20</v>
      </c>
      <c r="F8" s="1">
        <v>20</v>
      </c>
      <c r="G8" s="1">
        <v>20</v>
      </c>
      <c r="H8" s="1">
        <v>65</v>
      </c>
      <c r="I8" s="1">
        <v>67</v>
      </c>
      <c r="J8" s="1">
        <v>67</v>
      </c>
      <c r="K8" s="1">
        <v>67</v>
      </c>
      <c r="L8" s="1">
        <v>67</v>
      </c>
      <c r="M8" s="1">
        <v>67</v>
      </c>
      <c r="N8" s="1">
        <v>70</v>
      </c>
      <c r="O8" s="1">
        <v>70</v>
      </c>
      <c r="P8" s="1">
        <v>70</v>
      </c>
      <c r="Q8">
        <v>630</v>
      </c>
      <c r="R8" s="7" t="s">
        <v>48</v>
      </c>
    </row>
    <row r="9" spans="1:19" x14ac:dyDescent="0.35">
      <c r="A9" s="1" t="s">
        <v>27</v>
      </c>
      <c r="B9" s="1" t="s">
        <v>28</v>
      </c>
      <c r="C9" s="1">
        <v>8640</v>
      </c>
      <c r="D9" s="1">
        <v>259200</v>
      </c>
      <c r="E9" s="1">
        <v>1</v>
      </c>
      <c r="F9" s="1">
        <v>1E-3</v>
      </c>
      <c r="G9" s="1">
        <v>4</v>
      </c>
      <c r="H9" s="1">
        <v>15</v>
      </c>
      <c r="I9" s="1">
        <v>15</v>
      </c>
      <c r="J9" s="1">
        <v>15</v>
      </c>
      <c r="K9" s="1">
        <v>20</v>
      </c>
      <c r="L9" s="1">
        <v>20</v>
      </c>
      <c r="M9" s="1">
        <v>20</v>
      </c>
      <c r="N9" s="1">
        <v>20</v>
      </c>
      <c r="O9" s="1">
        <v>25</v>
      </c>
      <c r="P9" s="1">
        <v>25</v>
      </c>
      <c r="Q9">
        <v>179</v>
      </c>
      <c r="R9" s="7" t="s">
        <v>49</v>
      </c>
    </row>
    <row r="10" spans="1:19" x14ac:dyDescent="0.35">
      <c r="A10" s="1" t="s">
        <v>29</v>
      </c>
      <c r="B10" s="1" t="s">
        <v>30</v>
      </c>
      <c r="C10" s="1" t="s">
        <v>8</v>
      </c>
      <c r="D10" s="1" t="s">
        <v>8</v>
      </c>
      <c r="E10" s="1">
        <v>1</v>
      </c>
      <c r="F10" s="1">
        <v>1E-3</v>
      </c>
      <c r="G10" s="1">
        <v>14</v>
      </c>
      <c r="H10" s="1">
        <v>45</v>
      </c>
      <c r="I10" s="1">
        <v>45</v>
      </c>
      <c r="J10" s="1">
        <v>50</v>
      </c>
      <c r="K10" s="1">
        <v>50</v>
      </c>
      <c r="L10" s="1">
        <v>50</v>
      </c>
      <c r="M10" s="1">
        <v>50</v>
      </c>
      <c r="N10" s="1">
        <v>50</v>
      </c>
      <c r="O10" s="1">
        <v>53</v>
      </c>
      <c r="P10" s="1">
        <v>53</v>
      </c>
      <c r="Q10">
        <v>460</v>
      </c>
      <c r="R10" s="1" t="s">
        <v>9</v>
      </c>
    </row>
    <row r="11" spans="1:19" x14ac:dyDescent="0.35">
      <c r="A11" s="1" t="s">
        <v>31</v>
      </c>
      <c r="B11" s="1" t="s">
        <v>50</v>
      </c>
      <c r="C11" s="1" t="s">
        <v>8</v>
      </c>
      <c r="D11" s="1" t="s">
        <v>8</v>
      </c>
      <c r="E11" s="1">
        <v>1</v>
      </c>
      <c r="F11" s="1">
        <v>1E-3</v>
      </c>
      <c r="G11" s="1">
        <v>35</v>
      </c>
      <c r="H11" s="1">
        <v>100</v>
      </c>
      <c r="I11" s="1">
        <v>105</v>
      </c>
      <c r="J11" s="1">
        <v>105</v>
      </c>
      <c r="K11" s="1">
        <v>105</v>
      </c>
      <c r="L11" s="1">
        <v>105</v>
      </c>
      <c r="M11" s="1">
        <v>105</v>
      </c>
      <c r="N11" s="1">
        <v>110</v>
      </c>
      <c r="O11" s="1">
        <v>110</v>
      </c>
      <c r="P11" s="1">
        <v>110</v>
      </c>
      <c r="Q11">
        <v>990</v>
      </c>
      <c r="R11" s="1" t="s">
        <v>10</v>
      </c>
    </row>
    <row r="12" spans="1:19" x14ac:dyDescent="0.35">
      <c r="A12" s="1" t="s">
        <v>32</v>
      </c>
      <c r="B12" s="1" t="s">
        <v>38</v>
      </c>
      <c r="C12" s="1">
        <v>172800</v>
      </c>
      <c r="D12" s="1">
        <v>5184000</v>
      </c>
      <c r="E12" s="1">
        <v>1</v>
      </c>
      <c r="F12" s="1">
        <v>1E-3</v>
      </c>
      <c r="G12" s="1">
        <v>3</v>
      </c>
      <c r="H12" s="1">
        <v>5</v>
      </c>
      <c r="I12" s="1">
        <v>5</v>
      </c>
      <c r="J12" s="1">
        <v>7</v>
      </c>
      <c r="K12" s="1">
        <v>7</v>
      </c>
      <c r="L12" s="1">
        <v>7</v>
      </c>
      <c r="M12" s="1">
        <v>7</v>
      </c>
      <c r="N12" s="1">
        <v>8</v>
      </c>
      <c r="O12" s="1">
        <v>8</v>
      </c>
      <c r="P12" s="1">
        <v>8</v>
      </c>
      <c r="Q12">
        <v>65</v>
      </c>
      <c r="R12" t="s">
        <v>59</v>
      </c>
    </row>
    <row r="13" spans="1:19" x14ac:dyDescent="0.35">
      <c r="A13" s="1" t="s">
        <v>33</v>
      </c>
      <c r="B13" s="1" t="s">
        <v>42</v>
      </c>
      <c r="C13" s="1"/>
      <c r="D13" s="1"/>
      <c r="E13" s="1"/>
      <c r="F13" s="1"/>
      <c r="G13" s="1">
        <v>121</v>
      </c>
      <c r="H13" s="1">
        <v>122</v>
      </c>
      <c r="I13" s="1">
        <v>125</v>
      </c>
      <c r="J13" s="1">
        <v>125</v>
      </c>
      <c r="K13" s="1">
        <v>125</v>
      </c>
      <c r="L13" s="1">
        <v>125</v>
      </c>
      <c r="M13" s="1">
        <v>125</v>
      </c>
      <c r="N13" s="1">
        <v>128</v>
      </c>
      <c r="O13" s="1">
        <v>128</v>
      </c>
      <c r="P13" s="1">
        <v>128</v>
      </c>
      <c r="Q13" s="8">
        <v>1252</v>
      </c>
      <c r="R13" t="s">
        <v>58</v>
      </c>
    </row>
    <row r="14" spans="1:19" x14ac:dyDescent="0.35">
      <c r="A14" s="1" t="s">
        <v>34</v>
      </c>
      <c r="B14" s="1" t="s">
        <v>35</v>
      </c>
      <c r="C14" s="1"/>
      <c r="D14" s="1"/>
      <c r="E14" s="1"/>
      <c r="F14" s="1"/>
      <c r="G14" s="1">
        <v>10</v>
      </c>
      <c r="H14" s="1">
        <v>10</v>
      </c>
      <c r="I14" s="1">
        <v>12</v>
      </c>
      <c r="J14" s="1">
        <v>15</v>
      </c>
      <c r="K14" s="1">
        <v>20</v>
      </c>
      <c r="L14" s="1">
        <v>20</v>
      </c>
      <c r="M14" s="1">
        <v>20</v>
      </c>
      <c r="N14" s="1">
        <v>22</v>
      </c>
      <c r="O14" s="1">
        <v>22</v>
      </c>
      <c r="P14" s="1">
        <v>22</v>
      </c>
      <c r="Q14">
        <v>173</v>
      </c>
      <c r="R14" t="s">
        <v>57</v>
      </c>
    </row>
    <row r="15" spans="1:19" x14ac:dyDescent="0.35">
      <c r="A15" s="1" t="s">
        <v>37</v>
      </c>
      <c r="B15" s="1" t="s">
        <v>60</v>
      </c>
      <c r="C15" s="1"/>
      <c r="D15" s="1"/>
      <c r="E15" s="1"/>
      <c r="F15" s="1"/>
      <c r="G15" s="1">
        <v>22</v>
      </c>
      <c r="H15" s="1">
        <v>22</v>
      </c>
      <c r="I15" s="1">
        <v>28</v>
      </c>
      <c r="J15" s="1">
        <v>28</v>
      </c>
      <c r="K15" s="1">
        <v>28</v>
      </c>
      <c r="L15" s="1">
        <v>28</v>
      </c>
      <c r="M15" s="1">
        <v>28</v>
      </c>
      <c r="N15" s="1">
        <v>30</v>
      </c>
      <c r="O15" s="1">
        <v>30</v>
      </c>
      <c r="P15" s="1">
        <v>30</v>
      </c>
      <c r="Q15">
        <v>274</v>
      </c>
      <c r="R15" t="s">
        <v>55</v>
      </c>
      <c r="S15" s="1"/>
    </row>
    <row r="16" spans="1:19" x14ac:dyDescent="0.35">
      <c r="A16" s="1" t="s">
        <v>36</v>
      </c>
      <c r="B16" s="1" t="s">
        <v>60</v>
      </c>
      <c r="C16" s="1"/>
      <c r="D16" s="1"/>
      <c r="E16" s="1"/>
      <c r="F16" s="1"/>
      <c r="G16" s="1">
        <v>20</v>
      </c>
      <c r="H16" s="1">
        <v>20</v>
      </c>
      <c r="I16" s="1">
        <v>30</v>
      </c>
      <c r="J16" s="1">
        <v>30</v>
      </c>
      <c r="K16" s="1">
        <v>35</v>
      </c>
      <c r="L16" s="1">
        <v>35</v>
      </c>
      <c r="M16" s="1">
        <v>40</v>
      </c>
      <c r="N16" s="1">
        <v>40</v>
      </c>
      <c r="O16" s="1">
        <v>40</v>
      </c>
      <c r="P16" s="1">
        <v>40</v>
      </c>
      <c r="Q16">
        <v>330</v>
      </c>
      <c r="R16" t="s">
        <v>54</v>
      </c>
    </row>
    <row r="17" spans="1:18" x14ac:dyDescent="0.35">
      <c r="A17" s="1" t="s">
        <v>40</v>
      </c>
      <c r="B17" s="1" t="s">
        <v>41</v>
      </c>
      <c r="C17" s="1"/>
      <c r="D17" s="1"/>
      <c r="E17" s="1"/>
      <c r="F17" s="1"/>
      <c r="G17" s="1">
        <v>8</v>
      </c>
      <c r="H17" s="1">
        <v>8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12</v>
      </c>
      <c r="O17" s="1">
        <v>12</v>
      </c>
      <c r="P17" s="1">
        <v>12</v>
      </c>
      <c r="Q17">
        <v>102</v>
      </c>
      <c r="R17" t="s">
        <v>56</v>
      </c>
    </row>
    <row r="18" spans="1:18" x14ac:dyDescent="0.35">
      <c r="A18" s="1" t="s">
        <v>51</v>
      </c>
      <c r="B18" s="1" t="s">
        <v>52</v>
      </c>
      <c r="C18" s="1"/>
      <c r="D18" s="1"/>
      <c r="E18" s="1"/>
      <c r="F18" s="1"/>
      <c r="G18" s="1">
        <v>5</v>
      </c>
      <c r="H18" s="1">
        <v>5</v>
      </c>
      <c r="I18" s="1">
        <v>6</v>
      </c>
      <c r="J18" s="1">
        <v>6</v>
      </c>
      <c r="K18" s="1">
        <v>7</v>
      </c>
      <c r="L18" s="1">
        <v>7</v>
      </c>
      <c r="M18" s="1">
        <v>7</v>
      </c>
      <c r="N18" s="1">
        <v>7</v>
      </c>
      <c r="O18" s="1">
        <v>7</v>
      </c>
      <c r="P18" s="1">
        <v>7</v>
      </c>
      <c r="Q18">
        <v>64</v>
      </c>
      <c r="R18" t="s">
        <v>53</v>
      </c>
    </row>
    <row r="19" spans="1:18" s="10" customFormat="1" x14ac:dyDescent="0.35">
      <c r="A19" s="3" t="s">
        <v>61</v>
      </c>
      <c r="B19" s="3"/>
      <c r="C19" s="3"/>
      <c r="D19" s="3"/>
      <c r="E19" s="3"/>
      <c r="F19" s="3"/>
      <c r="G19" s="10">
        <v>761</v>
      </c>
      <c r="H19" s="9">
        <v>1121</v>
      </c>
      <c r="I19" s="9">
        <v>1163</v>
      </c>
      <c r="J19" s="9">
        <v>1183</v>
      </c>
      <c r="K19" s="9">
        <v>1209</v>
      </c>
      <c r="L19" s="9">
        <v>1219</v>
      </c>
      <c r="M19" s="9">
        <v>1224</v>
      </c>
      <c r="N19" s="9">
        <v>1242</v>
      </c>
      <c r="O19" s="9">
        <v>1260</v>
      </c>
      <c r="P19" s="9">
        <v>1260</v>
      </c>
      <c r="Q19" s="9">
        <v>11642</v>
      </c>
      <c r="R19" s="3"/>
    </row>
    <row r="20" spans="1:18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8"/>
      <c r="R22" s="1"/>
    </row>
    <row r="23" spans="1: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1"/>
      <c r="R23" s="1"/>
    </row>
    <row r="24" spans="1: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1"/>
      <c r="R24" s="1"/>
    </row>
    <row r="25" spans="1:1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2"/>
      <c r="R25" s="1"/>
    </row>
    <row r="26" spans="1:18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2"/>
      <c r="R26" s="1"/>
    </row>
    <row r="27" spans="1: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2"/>
      <c r="R27" s="1"/>
    </row>
    <row r="28" spans="1: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2"/>
      <c r="R28" s="1"/>
    </row>
    <row r="29" spans="1: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2"/>
      <c r="R29" s="1"/>
    </row>
    <row r="30" spans="1:18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2"/>
      <c r="R30" s="1"/>
    </row>
    <row r="31" spans="1:18" s="17" customFormat="1" x14ac:dyDescent="0.35">
      <c r="A31" s="14"/>
      <c r="B31" s="14"/>
      <c r="C31" s="14"/>
      <c r="D31" s="14"/>
      <c r="E31" s="14"/>
      <c r="F31" s="14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6"/>
      <c r="R31" s="14"/>
    </row>
    <row r="32" spans="1:18" x14ac:dyDescent="0.35">
      <c r="Q32" s="1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E27F-6BB5-4702-8C29-667A65538946}">
  <dimension ref="B2:C11"/>
  <sheetViews>
    <sheetView workbookViewId="0">
      <selection activeCell="F9" sqref="F9"/>
    </sheetView>
  </sheetViews>
  <sheetFormatPr defaultRowHeight="14.5" x14ac:dyDescent="0.35"/>
  <cols>
    <col min="2" max="2" width="29.7265625" bestFit="1" customWidth="1"/>
    <col min="6" max="6" width="28.1796875" customWidth="1"/>
  </cols>
  <sheetData>
    <row r="2" spans="2:3" x14ac:dyDescent="0.35">
      <c r="B2" s="5" t="s">
        <v>11</v>
      </c>
    </row>
    <row r="3" spans="2:3" x14ac:dyDescent="0.35">
      <c r="B3" t="s">
        <v>12</v>
      </c>
      <c r="C3">
        <v>12</v>
      </c>
    </row>
    <row r="4" spans="2:3" x14ac:dyDescent="0.35">
      <c r="B4" t="s">
        <v>13</v>
      </c>
      <c r="C4">
        <v>10</v>
      </c>
    </row>
    <row r="5" spans="2:3" x14ac:dyDescent="0.35">
      <c r="B5" t="s">
        <v>14</v>
      </c>
      <c r="C5" s="6">
        <f>C3*60*C4</f>
        <v>7200</v>
      </c>
    </row>
    <row r="6" spans="2:3" x14ac:dyDescent="0.35">
      <c r="B6" t="s">
        <v>15</v>
      </c>
      <c r="C6">
        <v>22</v>
      </c>
    </row>
    <row r="7" spans="2:3" x14ac:dyDescent="0.35">
      <c r="B7" t="s">
        <v>16</v>
      </c>
      <c r="C7">
        <f>C6*C5</f>
        <v>158400</v>
      </c>
    </row>
    <row r="10" spans="2:3" x14ac:dyDescent="0.35">
      <c r="B10" t="s">
        <v>17</v>
      </c>
      <c r="C10">
        <v>0.05</v>
      </c>
    </row>
    <row r="11" spans="2:3" x14ac:dyDescent="0.35">
      <c r="B11" t="s">
        <v>18</v>
      </c>
      <c r="C11">
        <f>C7*C10</f>
        <v>7920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Calculations</vt:lpstr>
      <vt:lpstr>Detailed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Yaseen M (Trianz)</dc:creator>
  <cp:keywords/>
  <dc:description/>
  <cp:lastModifiedBy>Karthik B M (Trianz)</cp:lastModifiedBy>
  <cp:revision/>
  <dcterms:created xsi:type="dcterms:W3CDTF">2025-03-14T08:00:04Z</dcterms:created>
  <dcterms:modified xsi:type="dcterms:W3CDTF">2025-03-17T09:03:10Z</dcterms:modified>
  <cp:category/>
  <cp:contentStatus/>
</cp:coreProperties>
</file>